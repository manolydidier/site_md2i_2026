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lia Nadim\Documents\Travail\management\PRIMES\"/>
    </mc:Choice>
  </mc:AlternateContent>
  <xr:revisionPtr revIDLastSave="0" documentId="8_{EB6EA986-87A8-486E-ADF7-0530A6545538}" xr6:coauthVersionLast="47" xr6:coauthVersionMax="47" xr10:uidLastSave="{00000000-0000-0000-0000-000000000000}"/>
  <bookViews>
    <workbookView xWindow="-98" yWindow="-98" windowWidth="21795" windowHeight="12975" xr2:uid="{3FA30C77-6899-4958-A023-1BBCBFC51BD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4" i="1" l="1"/>
  <c r="R23" i="1"/>
  <c r="L8" i="1"/>
  <c r="R8" i="1" s="1"/>
  <c r="R4" i="1"/>
  <c r="R5" i="1"/>
  <c r="R6" i="1"/>
  <c r="R7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3" i="1"/>
  <c r="L3" i="1"/>
  <c r="L19" i="1"/>
  <c r="L5" i="1"/>
  <c r="L20" i="1"/>
  <c r="L23" i="1"/>
  <c r="M3" i="1"/>
  <c r="M13" i="1"/>
  <c r="L14" i="1"/>
</calcChain>
</file>

<file path=xl/sharedStrings.xml><?xml version="1.0" encoding="utf-8"?>
<sst xmlns="http://schemas.openxmlformats.org/spreadsheetml/2006/main" count="45" uniqueCount="45">
  <si>
    <t>NOM</t>
  </si>
  <si>
    <t>CIMENT</t>
  </si>
  <si>
    <t>FER ROND NF</t>
  </si>
  <si>
    <t>CARRELAGE</t>
  </si>
  <si>
    <t>VALEUR EN %</t>
  </si>
  <si>
    <t>FAITIERES</t>
  </si>
  <si>
    <t>CORNIERES</t>
  </si>
  <si>
    <t>TOTAL</t>
  </si>
  <si>
    <t>GLOBAL O</t>
  </si>
  <si>
    <t>FER 8 AFNOR</t>
  </si>
  <si>
    <t>FER 10 AFNOR</t>
  </si>
  <si>
    <t>FER 12 AFNOR</t>
  </si>
  <si>
    <t>FER 8 AFNOR G</t>
  </si>
  <si>
    <t>FER 10 AFNOR G</t>
  </si>
  <si>
    <t>FER 12 AFNOR G</t>
  </si>
  <si>
    <t>CARREAUX 40X40</t>
  </si>
  <si>
    <t>CARREAUX 60X60</t>
  </si>
  <si>
    <t>ACHAT EXTERNE</t>
  </si>
  <si>
    <t>GALVABAC INTERNE</t>
  </si>
  <si>
    <t>FAITIERE 0,25</t>
  </si>
  <si>
    <t>FAITIERE 0,30</t>
  </si>
  <si>
    <t>CORNIERE I</t>
  </si>
  <si>
    <t>CORNIERE X4</t>
  </si>
  <si>
    <t>BELLA</t>
  </si>
  <si>
    <t>ANNICKA</t>
  </si>
  <si>
    <t>BEA</t>
  </si>
  <si>
    <t>FRANCIA 1</t>
  </si>
  <si>
    <t>FRANCIA 2</t>
  </si>
  <si>
    <t>LANJA</t>
  </si>
  <si>
    <t>DIANE</t>
  </si>
  <si>
    <t>RAISSA</t>
  </si>
  <si>
    <t>GEORGINE</t>
  </si>
  <si>
    <t>MICKAEL</t>
  </si>
  <si>
    <t>ELISA</t>
  </si>
  <si>
    <t>ANDO</t>
  </si>
  <si>
    <t>TATIANA</t>
  </si>
  <si>
    <t>OLIVIA</t>
  </si>
  <si>
    <t>VANESSA</t>
  </si>
  <si>
    <t>EZRA</t>
  </si>
  <si>
    <t>ANDRE</t>
  </si>
  <si>
    <t>LINAH</t>
  </si>
  <si>
    <t>PRISCA</t>
  </si>
  <si>
    <t>TIANA</t>
  </si>
  <si>
    <t>GENEVIEVE</t>
  </si>
  <si>
    <t>CARREAUX 50X50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</si>
</sst>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53DF3-65C7-4B47-AF81-20B8E97482B6}">
  <dimension ref="A1:R24"/>
  <sheetViews>
    <sheetView tabSelected="1" topLeftCell="F1" workbookViewId="0">
      <selection activeCell="O13" sqref="O13"/>
    </sheetView>
  </sheetViews>
  <sheetFormatPr baseColWidth="10" defaultRowHeight="14.25" x14ac:dyDescent="0.45"/>
  <cols>
    <col min="1" max="2" width="10.6640625" style="13"/>
    <col min="3" max="3" width="11.1328125" style="13" bestFit="1" customWidth="1"/>
    <col min="4" max="5" width="12.1328125" style="13" bestFit="1" customWidth="1"/>
    <col min="6" max="6" width="12.796875" style="13" bestFit="1" customWidth="1"/>
    <col min="7" max="8" width="13.796875" style="13" bestFit="1" customWidth="1"/>
    <col min="9" max="9" width="14.796875" style="13" bestFit="1" customWidth="1"/>
    <col min="10" max="10" width="14.796875" style="13" customWidth="1"/>
    <col min="11" max="11" width="14.796875" style="13" bestFit="1" customWidth="1"/>
    <col min="12" max="12" width="13.6640625" style="13" bestFit="1" customWidth="1"/>
    <col min="13" max="13" width="16.6640625" style="13" bestFit="1" customWidth="1"/>
    <col min="14" max="15" width="11.46484375" style="13" bestFit="1" customWidth="1"/>
    <col min="16" max="16" width="13.06640625" style="13" bestFit="1" customWidth="1"/>
    <col min="17" max="17" width="11.19921875" style="13" bestFit="1" customWidth="1"/>
    <col min="18" max="16384" width="10.6640625" style="13"/>
  </cols>
  <sheetData>
    <row r="1" spans="1:18" s="5" customFormat="1" x14ac:dyDescent="0.4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 t="s">
        <v>3</v>
      </c>
      <c r="J1" s="3"/>
      <c r="K1" s="3"/>
      <c r="L1" s="3" t="s">
        <v>4</v>
      </c>
      <c r="M1" s="3"/>
      <c r="N1" s="3" t="s">
        <v>5</v>
      </c>
      <c r="O1" s="3"/>
      <c r="P1" s="3" t="s">
        <v>6</v>
      </c>
      <c r="Q1" s="3"/>
      <c r="R1" s="4" t="s">
        <v>7</v>
      </c>
    </row>
    <row r="2" spans="1:18" s="9" customFormat="1" x14ac:dyDescent="0.45">
      <c r="A2" s="6"/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7" t="s">
        <v>14</v>
      </c>
      <c r="I2" s="7" t="s">
        <v>15</v>
      </c>
      <c r="J2" s="7" t="s">
        <v>44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8"/>
    </row>
    <row r="3" spans="1:18" x14ac:dyDescent="0.45">
      <c r="A3" s="10" t="s">
        <v>23</v>
      </c>
      <c r="B3" s="11">
        <v>125</v>
      </c>
      <c r="C3" s="11">
        <v>4</v>
      </c>
      <c r="D3" s="11"/>
      <c r="E3" s="11"/>
      <c r="F3" s="11"/>
      <c r="G3" s="11"/>
      <c r="H3" s="11"/>
      <c r="I3" s="11"/>
      <c r="J3" s="11"/>
      <c r="K3" s="11"/>
      <c r="L3" s="11">
        <f>164000</f>
        <v>164000</v>
      </c>
      <c r="M3" s="11">
        <f>96120</f>
        <v>96120</v>
      </c>
      <c r="N3" s="11"/>
      <c r="O3" s="11"/>
      <c r="P3" s="11">
        <v>15</v>
      </c>
      <c r="Q3" s="11">
        <v>8</v>
      </c>
      <c r="R3" s="12">
        <f>(B3*150)+(C3*200)+(D3*300)+(E3*500)+(F3*100)+(G3*100)+(H3*200)+(I3*500)+(J3*750)+(K3*1000)+(L3*0.75%)+(M3*2%)+(N3*200)+(O3*400)+(P3*400)+(Q3*1000)</f>
        <v>36702.400000000001</v>
      </c>
    </row>
    <row r="4" spans="1:18" x14ac:dyDescent="0.45">
      <c r="A4" s="10" t="s">
        <v>24</v>
      </c>
      <c r="B4" s="11">
        <v>70</v>
      </c>
      <c r="C4" s="11">
        <v>1</v>
      </c>
      <c r="D4" s="11">
        <v>3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2</v>
      </c>
      <c r="Q4" s="11"/>
      <c r="R4" s="12">
        <f t="shared" ref="R4:R23" si="0">(B4*150)+(C4*200)+(D4*300)+(E4*500)+(F4*100)+(G4*100)+(H4*200)+(I4*500)+(J4*750)+(K4*1000)+(L4*0.75%)+(M4*2%)+(N4*200)+(O4*400)+(P4*400)+(Q4*1000)</f>
        <v>12400</v>
      </c>
    </row>
    <row r="5" spans="1:18" x14ac:dyDescent="0.45">
      <c r="A5" s="10" t="s">
        <v>25</v>
      </c>
      <c r="B5" s="11">
        <v>76</v>
      </c>
      <c r="C5" s="11">
        <v>9</v>
      </c>
      <c r="D5" s="11">
        <v>4</v>
      </c>
      <c r="E5" s="11"/>
      <c r="F5" s="11"/>
      <c r="G5" s="11"/>
      <c r="H5" s="11"/>
      <c r="I5" s="11">
        <v>1</v>
      </c>
      <c r="J5" s="11">
        <v>32</v>
      </c>
      <c r="K5" s="11"/>
      <c r="L5" s="11">
        <f>694200</f>
        <v>694200</v>
      </c>
      <c r="M5" s="11"/>
      <c r="N5" s="11"/>
      <c r="O5" s="11"/>
      <c r="P5" s="11">
        <v>1</v>
      </c>
      <c r="Q5" s="11"/>
      <c r="R5" s="12">
        <f t="shared" si="0"/>
        <v>44506.5</v>
      </c>
    </row>
    <row r="6" spans="1:18" x14ac:dyDescent="0.45">
      <c r="A6" s="10" t="s">
        <v>26</v>
      </c>
      <c r="B6" s="11">
        <v>193</v>
      </c>
      <c r="C6" s="11">
        <v>68</v>
      </c>
      <c r="D6" s="11">
        <v>80</v>
      </c>
      <c r="E6" s="11"/>
      <c r="F6" s="11"/>
      <c r="G6" s="11"/>
      <c r="H6" s="11"/>
      <c r="I6" s="11"/>
      <c r="J6" s="11"/>
      <c r="K6" s="11"/>
      <c r="L6" s="11"/>
      <c r="M6" s="11"/>
      <c r="N6" s="11">
        <v>4</v>
      </c>
      <c r="O6" s="11"/>
      <c r="P6" s="11">
        <v>4</v>
      </c>
      <c r="Q6" s="11"/>
      <c r="R6" s="12">
        <f t="shared" si="0"/>
        <v>68950</v>
      </c>
    </row>
    <row r="7" spans="1:18" x14ac:dyDescent="0.45">
      <c r="A7" s="10" t="s">
        <v>27</v>
      </c>
      <c r="B7" s="11">
        <v>81</v>
      </c>
      <c r="C7" s="11">
        <v>43</v>
      </c>
      <c r="D7" s="11">
        <v>109</v>
      </c>
      <c r="E7" s="11"/>
      <c r="F7" s="11"/>
      <c r="G7" s="11"/>
      <c r="H7" s="11"/>
      <c r="I7" s="11"/>
      <c r="J7" s="11"/>
      <c r="K7" s="11"/>
      <c r="L7" s="11"/>
      <c r="M7" s="11"/>
      <c r="N7" s="11">
        <v>8</v>
      </c>
      <c r="O7" s="11"/>
      <c r="P7" s="11">
        <v>59</v>
      </c>
      <c r="Q7" s="11"/>
      <c r="R7" s="12">
        <f t="shared" si="0"/>
        <v>78650</v>
      </c>
    </row>
    <row r="8" spans="1:18" x14ac:dyDescent="0.45">
      <c r="A8" s="10" t="s">
        <v>28</v>
      </c>
      <c r="B8" s="11">
        <v>183</v>
      </c>
      <c r="C8" s="11">
        <v>17</v>
      </c>
      <c r="D8" s="11">
        <v>12</v>
      </c>
      <c r="E8" s="11">
        <v>2</v>
      </c>
      <c r="F8" s="11"/>
      <c r="G8" s="11"/>
      <c r="H8" s="11"/>
      <c r="I8" s="11">
        <v>20</v>
      </c>
      <c r="J8" s="11"/>
      <c r="K8" s="11"/>
      <c r="L8" s="11">
        <f>2268000+1100800+578700+51200</f>
        <v>3998700</v>
      </c>
      <c r="M8" s="11"/>
      <c r="N8" s="11">
        <v>2</v>
      </c>
      <c r="O8" s="11">
        <v>8</v>
      </c>
      <c r="P8" s="11">
        <v>1</v>
      </c>
      <c r="Q8" s="11"/>
      <c r="R8" s="12">
        <f t="shared" si="0"/>
        <v>79440.25</v>
      </c>
    </row>
    <row r="9" spans="1:18" x14ac:dyDescent="0.45">
      <c r="A9" s="10" t="s">
        <v>29</v>
      </c>
      <c r="B9" s="11">
        <v>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2">
        <f t="shared" si="0"/>
        <v>1050</v>
      </c>
    </row>
    <row r="10" spans="1:18" x14ac:dyDescent="0.45">
      <c r="A10" s="10" t="s">
        <v>30</v>
      </c>
      <c r="B10" s="11">
        <v>40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2">
        <f t="shared" si="0"/>
        <v>6000</v>
      </c>
    </row>
    <row r="11" spans="1:18" x14ac:dyDescent="0.45">
      <c r="A11" s="10" t="s">
        <v>31</v>
      </c>
      <c r="B11" s="11">
        <v>5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10</v>
      </c>
      <c r="Q11" s="11"/>
      <c r="R11" s="12">
        <f t="shared" si="0"/>
        <v>4750</v>
      </c>
    </row>
    <row r="12" spans="1:18" x14ac:dyDescent="0.45">
      <c r="A12" s="10" t="s">
        <v>32</v>
      </c>
      <c r="B12" s="11">
        <v>23</v>
      </c>
      <c r="C12" s="11"/>
      <c r="D12" s="11">
        <v>50</v>
      </c>
      <c r="E12" s="11"/>
      <c r="F12" s="11"/>
      <c r="G12" s="11"/>
      <c r="H12" s="11"/>
      <c r="I12" s="11"/>
      <c r="J12" s="11"/>
      <c r="K12" s="11"/>
      <c r="L12" s="11"/>
      <c r="M12" s="11"/>
      <c r="N12" s="11">
        <v>10</v>
      </c>
      <c r="O12" s="11">
        <v>2</v>
      </c>
      <c r="P12" s="11">
        <v>2</v>
      </c>
      <c r="Q12" s="11"/>
      <c r="R12" s="12">
        <f t="shared" si="0"/>
        <v>22050</v>
      </c>
    </row>
    <row r="13" spans="1:18" x14ac:dyDescent="0.45">
      <c r="A13" s="10" t="s">
        <v>33</v>
      </c>
      <c r="B13" s="11"/>
      <c r="C13" s="11"/>
      <c r="D13" s="11"/>
      <c r="E13" s="11"/>
      <c r="F13" s="11">
        <v>40</v>
      </c>
      <c r="G13" s="11">
        <v>20</v>
      </c>
      <c r="H13" s="11"/>
      <c r="I13" s="11"/>
      <c r="J13" s="11"/>
      <c r="K13" s="11"/>
      <c r="L13" s="11"/>
      <c r="M13" s="11">
        <f>36000</f>
        <v>36000</v>
      </c>
      <c r="N13" s="11"/>
      <c r="O13" s="11"/>
      <c r="P13" s="11"/>
      <c r="Q13" s="11">
        <v>4</v>
      </c>
      <c r="R13" s="12">
        <f t="shared" si="0"/>
        <v>10720</v>
      </c>
    </row>
    <row r="14" spans="1:18" x14ac:dyDescent="0.45">
      <c r="A14" s="10" t="s">
        <v>34</v>
      </c>
      <c r="B14" s="11">
        <v>30</v>
      </c>
      <c r="C14" s="11"/>
      <c r="D14" s="11"/>
      <c r="E14" s="11"/>
      <c r="F14" s="11"/>
      <c r="G14" s="11"/>
      <c r="H14" s="11"/>
      <c r="I14" s="11">
        <v>2</v>
      </c>
      <c r="J14" s="11"/>
      <c r="K14" s="11"/>
      <c r="L14" s="11">
        <f>83600</f>
        <v>83600</v>
      </c>
      <c r="M14" s="11"/>
      <c r="N14" s="11"/>
      <c r="O14" s="11"/>
      <c r="P14" s="11"/>
      <c r="Q14" s="11"/>
      <c r="R14" s="12">
        <f t="shared" si="0"/>
        <v>6127</v>
      </c>
    </row>
    <row r="15" spans="1:18" x14ac:dyDescent="0.45">
      <c r="A15" s="10" t="s">
        <v>35</v>
      </c>
      <c r="B15" s="11">
        <v>19</v>
      </c>
      <c r="C15" s="11"/>
      <c r="D15" s="11">
        <v>45</v>
      </c>
      <c r="E15" s="11"/>
      <c r="F15" s="11"/>
      <c r="G15" s="11"/>
      <c r="H15" s="11"/>
      <c r="I15" s="11"/>
      <c r="J15" s="11"/>
      <c r="K15" s="11"/>
      <c r="L15" s="11"/>
      <c r="M15" s="11"/>
      <c r="N15" s="11">
        <v>4</v>
      </c>
      <c r="O15" s="11"/>
      <c r="P15" s="11">
        <v>18</v>
      </c>
      <c r="Q15" s="11"/>
      <c r="R15" s="12">
        <f t="shared" si="0"/>
        <v>24350</v>
      </c>
    </row>
    <row r="16" spans="1:18" x14ac:dyDescent="0.45">
      <c r="A16" s="10" t="s">
        <v>36</v>
      </c>
      <c r="B16" s="11">
        <v>3</v>
      </c>
      <c r="C16" s="11">
        <v>20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2">
        <f t="shared" si="0"/>
        <v>4450</v>
      </c>
    </row>
    <row r="17" spans="1:18" x14ac:dyDescent="0.45">
      <c r="A17" s="10" t="s">
        <v>37</v>
      </c>
      <c r="B17" s="11">
        <v>308</v>
      </c>
      <c r="C17" s="11">
        <v>14</v>
      </c>
      <c r="D17" s="11">
        <v>8</v>
      </c>
      <c r="E17" s="11">
        <v>7</v>
      </c>
      <c r="F17" s="11"/>
      <c r="G17" s="11"/>
      <c r="H17" s="11"/>
      <c r="I17" s="11">
        <v>3</v>
      </c>
      <c r="J17" s="11"/>
      <c r="K17" s="11"/>
      <c r="L17" s="11"/>
      <c r="M17" s="11"/>
      <c r="N17" s="11"/>
      <c r="O17" s="11">
        <v>3</v>
      </c>
      <c r="P17" s="11">
        <v>5</v>
      </c>
      <c r="Q17" s="11"/>
      <c r="R17" s="12">
        <f t="shared" si="0"/>
        <v>59600</v>
      </c>
    </row>
    <row r="18" spans="1:18" x14ac:dyDescent="0.45">
      <c r="A18" s="10" t="s">
        <v>38</v>
      </c>
      <c r="B18" s="11">
        <v>5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2">
        <f t="shared" si="0"/>
        <v>750</v>
      </c>
    </row>
    <row r="19" spans="1:18" x14ac:dyDescent="0.45">
      <c r="A19" s="10" t="s">
        <v>39</v>
      </c>
      <c r="B19" s="11">
        <v>78</v>
      </c>
      <c r="C19" s="11">
        <v>103</v>
      </c>
      <c r="D19" s="11">
        <v>87</v>
      </c>
      <c r="E19" s="11"/>
      <c r="F19" s="11"/>
      <c r="G19" s="11"/>
      <c r="H19" s="11"/>
      <c r="I19" s="11"/>
      <c r="J19" s="11"/>
      <c r="K19" s="11"/>
      <c r="L19" s="11">
        <f>453600</f>
        <v>453600</v>
      </c>
      <c r="M19" s="11"/>
      <c r="N19" s="11">
        <v>9</v>
      </c>
      <c r="O19" s="11">
        <v>11</v>
      </c>
      <c r="P19" s="11">
        <v>79</v>
      </c>
      <c r="Q19" s="11"/>
      <c r="R19" s="12">
        <f t="shared" si="0"/>
        <v>99602</v>
      </c>
    </row>
    <row r="20" spans="1:18" x14ac:dyDescent="0.45">
      <c r="A20" s="10" t="s">
        <v>40</v>
      </c>
      <c r="B20" s="11">
        <v>100</v>
      </c>
      <c r="C20" s="11">
        <v>64</v>
      </c>
      <c r="D20" s="11">
        <v>118</v>
      </c>
      <c r="E20" s="11">
        <v>55</v>
      </c>
      <c r="F20" s="11"/>
      <c r="G20" s="11"/>
      <c r="H20" s="11"/>
      <c r="I20" s="11"/>
      <c r="J20" s="11"/>
      <c r="K20" s="11"/>
      <c r="L20" s="11">
        <f>434700+275200+57000+158400</f>
        <v>925300</v>
      </c>
      <c r="M20" s="11">
        <v>149100</v>
      </c>
      <c r="N20" s="11">
        <v>10</v>
      </c>
      <c r="O20" s="11"/>
      <c r="P20" s="11">
        <v>47</v>
      </c>
      <c r="Q20" s="11">
        <v>10</v>
      </c>
      <c r="R20" s="12">
        <f t="shared" si="0"/>
        <v>131421.75</v>
      </c>
    </row>
    <row r="21" spans="1:18" x14ac:dyDescent="0.45">
      <c r="A21" s="10" t="s">
        <v>42</v>
      </c>
      <c r="B21" s="11">
        <v>35</v>
      </c>
      <c r="C21" s="11"/>
      <c r="D21" s="11"/>
      <c r="E21" s="11"/>
      <c r="F21" s="11"/>
      <c r="G21" s="11"/>
      <c r="H21" s="11"/>
      <c r="I21" s="11">
        <v>2</v>
      </c>
      <c r="J21" s="11"/>
      <c r="K21" s="11"/>
      <c r="L21" s="11"/>
      <c r="M21" s="11"/>
      <c r="N21" s="11"/>
      <c r="O21" s="11"/>
      <c r="P21" s="11">
        <v>1</v>
      </c>
      <c r="Q21" s="11"/>
      <c r="R21" s="12">
        <f t="shared" si="0"/>
        <v>6650</v>
      </c>
    </row>
    <row r="22" spans="1:18" x14ac:dyDescent="0.45">
      <c r="A22" s="10" t="s">
        <v>41</v>
      </c>
      <c r="B22" s="11">
        <v>12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>
        <v>1</v>
      </c>
      <c r="O22" s="11"/>
      <c r="P22" s="11"/>
      <c r="Q22" s="11"/>
      <c r="R22" s="12">
        <f t="shared" si="0"/>
        <v>2000</v>
      </c>
    </row>
    <row r="23" spans="1:18" ht="14.65" thickBot="1" x14ac:dyDescent="0.5">
      <c r="A23" s="14" t="s">
        <v>43</v>
      </c>
      <c r="B23" s="15">
        <v>20</v>
      </c>
      <c r="C23" s="15">
        <v>15</v>
      </c>
      <c r="D23" s="15"/>
      <c r="E23" s="15"/>
      <c r="F23" s="15"/>
      <c r="G23" s="15"/>
      <c r="H23" s="15"/>
      <c r="I23" s="15"/>
      <c r="J23" s="15"/>
      <c r="K23" s="15"/>
      <c r="L23" s="15">
        <f>68000</f>
        <v>68000</v>
      </c>
      <c r="M23" s="15"/>
      <c r="N23" s="15">
        <v>2</v>
      </c>
      <c r="O23" s="15">
        <v>11</v>
      </c>
      <c r="P23" s="15">
        <v>31</v>
      </c>
      <c r="Q23" s="15"/>
      <c r="R23" s="12">
        <f t="shared" si="0"/>
        <v>23710</v>
      </c>
    </row>
    <row r="24" spans="1:18" ht="14.65" thickBot="1" x14ac:dyDescent="0.5">
      <c r="R24" s="16">
        <f>SUM(R3:R23)</f>
        <v>723879.9</v>
      </c>
    </row>
  </sheetData>
  <mergeCells count="5">
    <mergeCell ref="C1:H1"/>
    <mergeCell ref="I1:K1"/>
    <mergeCell ref="L1:M1"/>
    <mergeCell ref="N1:O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nadim kolia</dc:creator>
  <cp:lastModifiedBy>nadim kolia</cp:lastModifiedBy>
  <dcterms:created xsi:type="dcterms:W3CDTF">2025-08-16T08:10:28Z</dcterms:created>
  <dcterms:modified xsi:type="dcterms:W3CDTF">2025-08-16T12:54:23Z</dcterms:modified>
</cp:coreProperties>
</file>